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MR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Quattrocento Sans"/>
      <family val="2"/>
      <color theme="1"/>
      <sz val="12"/>
    </font>
    <font>
      <name val="Quattrocento Sans"/>
      <family val="2"/>
      <color theme="1"/>
      <sz val="14"/>
    </font>
    <font>
      <name val="Quattrocento Sans"/>
      <family val="2"/>
      <b val="1"/>
      <color theme="1"/>
      <sz val="12"/>
    </font>
    <font>
      <name val="Quattrocento Sans"/>
      <family val="2"/>
      <color theme="0"/>
      <sz val="12"/>
    </font>
    <font>
      <name val="Quattrocento Sans"/>
      <family val="2"/>
      <color rgb="FFFFFFFF"/>
      <sz val="12"/>
    </font>
    <font>
      <name val="Quattrocento Sans"/>
      <family val="2"/>
      <b val="1"/>
      <color rgb="FF000000"/>
      <sz val="12"/>
    </font>
    <font>
      <name val="Calibri"/>
      <family val="2"/>
      <b val="1"/>
      <sz val="24"/>
    </font>
    <font>
      <name val="Calibri"/>
      <family val="2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Quattrocento Sans"/>
      <family val="2"/>
      <b val="1"/>
      <color theme="0"/>
      <sz val="12"/>
    </font>
    <font>
      <name val="Calibri"/>
      <family val="2"/>
      <color theme="1"/>
      <sz val="12"/>
    </font>
  </fonts>
  <fills count="14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B4C6E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AE3F3"/>
        <bgColor rgb="FFD9E2F3"/>
      </patternFill>
    </fill>
    <fill>
      <patternFill patternType="solid">
        <fgColor rgb="FFDAE3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applyProtection="1" pivotButton="0" quotePrefix="0" xfId="0">
      <alignment horizontal="left" vertical="top" wrapText="1"/>
      <protection locked="0" hidden="0"/>
    </xf>
    <xf numFmtId="0" fontId="3" fillId="0" borderId="1" applyAlignment="1" pivotButton="0" quotePrefix="0" xfId="0">
      <alignment horizontal="left"/>
    </xf>
    <xf numFmtId="0" fontId="4" fillId="0" borderId="0" pivotButton="0" quotePrefix="0" xfId="0"/>
    <xf numFmtId="0" fontId="5" fillId="2" borderId="2" applyAlignment="1" pivotButton="0" quotePrefix="0" xfId="0">
      <alignment horizontal="center" vertical="center"/>
    </xf>
    <xf numFmtId="0" fontId="3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/>
    </xf>
    <xf numFmtId="0" fontId="10" fillId="5" borderId="4" pivotButton="0" quotePrefix="0" xfId="0"/>
    <xf numFmtId="0" fontId="10" fillId="5" borderId="3" pivotButton="0" quotePrefix="0" xfId="0"/>
    <xf numFmtId="0" fontId="3" fillId="0" borderId="2" applyAlignment="1" pivotButton="0" quotePrefix="0" xfId="0">
      <alignment vertical="top" wrapText="1"/>
    </xf>
    <xf numFmtId="0" fontId="5" fillId="6" borderId="2" applyAlignment="1" applyProtection="1" pivotButton="0" quotePrefix="0" xfId="0">
      <alignment horizontal="center" vertical="center" wrapTex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6" borderId="3" applyAlignment="1" applyProtection="1" pivotButton="0" quotePrefix="0" xfId="0">
      <alignment horizontal="left" vertical="center" wrapText="1"/>
      <protection locked="0" hidden="0"/>
    </xf>
    <xf numFmtId="0" fontId="3" fillId="6" borderId="2" applyAlignment="1" applyProtection="1" pivotButton="0" quotePrefix="0" xfId="0">
      <alignment horizontal="left" vertical="center" wrapText="1"/>
      <protection locked="0" hidden="0"/>
    </xf>
    <xf numFmtId="0" fontId="10" fillId="0" borderId="7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5" fillId="4" borderId="2" applyAlignment="1" pivotButton="0" quotePrefix="0" xfId="0">
      <alignment horizontal="left" wrapText="1"/>
    </xf>
    <xf numFmtId="0" fontId="10" fillId="5" borderId="4" applyAlignment="1" applyProtection="1" pivotButton="0" quotePrefix="0" xfId="0">
      <alignment horizontal="left"/>
      <protection locked="0" hidden="0"/>
    </xf>
    <xf numFmtId="0" fontId="10" fillId="5" borderId="3" applyAlignment="1" applyProtection="1" pivotButton="0" quotePrefix="0" xfId="0">
      <alignment horizontal="left"/>
      <protection locked="0" hidden="0"/>
    </xf>
    <xf numFmtId="0" fontId="3" fillId="0" borderId="2" applyAlignment="1" pivotButton="0" quotePrefix="0" xfId="0">
      <alignment wrapText="1"/>
    </xf>
    <xf numFmtId="0" fontId="3" fillId="0" borderId="2" applyAlignment="1" pivotButton="0" quotePrefix="0" xfId="0">
      <alignment horizontal="left" vertical="top" wrapText="1"/>
    </xf>
    <xf numFmtId="0" fontId="3" fillId="6" borderId="3" applyAlignment="1" applyProtection="1" pivotButton="0" quotePrefix="0" xfId="0">
      <alignment horizontal="left" vertical="top" wrapText="1"/>
      <protection locked="0" hidden="0"/>
    </xf>
    <xf numFmtId="0" fontId="5" fillId="4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10" fillId="8" borderId="4" pivotButton="0" quotePrefix="0" xfId="0"/>
    <xf numFmtId="0" fontId="10" fillId="8" borderId="4" applyAlignment="1" applyProtection="1" pivotButton="0" quotePrefix="0" xfId="0">
      <alignment horizontal="left"/>
      <protection locked="0" hidden="0"/>
    </xf>
    <xf numFmtId="0" fontId="10" fillId="8" borderId="3" applyAlignment="1" applyProtection="1" pivotButton="0" quotePrefix="0" xfId="0">
      <alignment horizontal="left"/>
      <protection locked="0" hidden="0"/>
    </xf>
    <xf numFmtId="0" fontId="3" fillId="6" borderId="2" applyAlignment="1" applyProtection="1" pivotButton="0" quotePrefix="0" xfId="0">
      <alignment horizontal="left" vertical="top" wrapText="1"/>
      <protection locked="0" hidden="0"/>
    </xf>
    <xf numFmtId="0" fontId="11" fillId="9" borderId="2" applyAlignment="1" pivotButton="0" quotePrefix="0" xfId="0">
      <alignment horizontal="center" vertical="center"/>
    </xf>
    <xf numFmtId="0" fontId="10" fillId="8" borderId="9" applyAlignment="1" applyProtection="1" pivotButton="0" quotePrefix="0" xfId="0">
      <alignment horizontal="left"/>
      <protection locked="0" hidden="0"/>
    </xf>
    <xf numFmtId="0" fontId="3" fillId="6" borderId="4" applyAlignment="1" applyProtection="1" pivotButton="0" quotePrefix="0" xfId="0">
      <alignment horizontal="left" vertical="center" wrapText="1"/>
      <protection locked="0" hidden="0"/>
    </xf>
    <xf numFmtId="0" fontId="10" fillId="8" borderId="4" applyAlignment="1" pivotButton="0" quotePrefix="0" xfId="0">
      <alignment horizontal="left"/>
    </xf>
    <xf numFmtId="0" fontId="10" fillId="8" borderId="10" applyAlignment="1" pivotButton="0" quotePrefix="0" xfId="0">
      <alignment horizontal="left"/>
    </xf>
    <xf numFmtId="0" fontId="3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12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/>
    </xf>
    <xf numFmtId="0" fontId="3" fillId="0" borderId="11" applyAlignment="1" pivotButton="0" quotePrefix="0" xfId="0">
      <alignment horizontal="center" vertical="center" wrapText="1"/>
    </xf>
    <xf numFmtId="0" fontId="10" fillId="0" borderId="11" pivotButton="0" quotePrefix="0" xfId="0"/>
    <xf numFmtId="0" fontId="13" fillId="1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5" fillId="9" borderId="12" applyAlignment="1" pivotButton="0" quotePrefix="0" xfId="0">
      <alignment horizontal="center" vertical="center"/>
    </xf>
    <xf numFmtId="0" fontId="5" fillId="11" borderId="12" applyAlignment="1" pivotButton="0" quotePrefix="0" xfId="0">
      <alignment horizontal="center" vertical="center"/>
    </xf>
    <xf numFmtId="0" fontId="13" fillId="12" borderId="12" applyAlignment="1" pivotButton="0" quotePrefix="0" xfId="0">
      <alignment horizontal="center" vertical="center"/>
    </xf>
    <xf numFmtId="0" fontId="13" fillId="1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78153</colOff>
      <row>1</row>
      <rowOff>0</rowOff>
    </from>
    <to>
      <col>2</col>
      <colOff>921440</colOff>
      <row>1</row>
      <rowOff>762000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8053" y="184150"/>
          <a:ext cx="1484637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6"/>
  <sheetViews>
    <sheetView workbookViewId="0">
      <selection activeCell="A1" sqref="A1"/>
    </sheetView>
  </sheetViews>
  <sheetFormatPr baseColWidth="8" defaultRowHeight="15"/>
  <cols>
    <col width="6.6640625" customWidth="1" min="1" max="1"/>
    <col width="9.1640625" customWidth="1" min="2" max="2"/>
    <col width="71" customWidth="1" min="3" max="3"/>
    <col width="23.6640625" customWidth="1" min="4" max="4"/>
    <col width="5.33203125" customWidth="1" min="5" max="5"/>
    <col width="23.6640625" customWidth="1" min="6" max="6"/>
    <col hidden="1" width="27.6640625" customWidth="1" min="10" max="10"/>
    <col hidden="1" width="23.5" customWidth="1" min="11" max="11"/>
    <col width="9.1640625" customWidth="1" min="12" max="12"/>
    <col width="8.664062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4.25" customHeight="1">
      <c r="B2" s="2" t="inlineStr">
        <is>
          <t xml:space="preserve">                   Penilaian Pencapaian Kinerja dan Kualitas Penerapan Manajemen Risiko 
                        PT PLN BATAM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36" customHeight="1"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n"/>
      <c r="B4" s="3" t="inlineStr">
        <is>
          <t>nb : Tim Imbangan dapat mengisi kolom jawaban yang paling sesuai serta memberikan keterangan/penjelasan.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6" customHeight="1">
      <c r="A5" s="4" t="n"/>
      <c r="B5" s="5" t="inlineStr">
        <is>
          <t xml:space="preserve"> Parameter Penentuan Hasil Penilaian Kualitas Penerapan Manajemen Risiko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 ht="27" customHeight="1">
      <c r="A6" s="6" t="n"/>
      <c r="B6" s="7" t="inlineStr">
        <is>
          <t>No</t>
        </is>
      </c>
      <c r="C6" s="7" t="inlineStr">
        <is>
          <t>Parameter</t>
        </is>
      </c>
      <c r="D6" s="7" t="inlineStr">
        <is>
          <t>Jawaban</t>
        </is>
      </c>
      <c r="E6" s="7" t="inlineStr">
        <is>
          <t>Skala</t>
        </is>
      </c>
      <c r="G6" s="8" t="inlineStr">
        <is>
          <t>Hasil Penilaian</t>
        </is>
      </c>
      <c r="H6" s="7" t="inlineStr">
        <is>
          <t>Penilaian per Parameter</t>
        </is>
      </c>
      <c r="I6" s="7" t="inlineStr">
        <is>
          <t>Total Penilaian</t>
        </is>
      </c>
      <c r="J6" s="9" t="inlineStr">
        <is>
          <t>Dokumen Referensi</t>
        </is>
      </c>
      <c r="K6" s="7" t="inlineStr">
        <is>
          <t>Keterangan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 ht="32" customHeight="1">
      <c r="A7" s="6" t="n"/>
      <c r="B7" s="10" t="n">
        <v>1</v>
      </c>
      <c r="C7" s="11" t="inlineStr">
        <is>
          <t>Pencapaian Nilai Eksposur Risiko (Dampak) sesuai dengan target Risiko Residual (Risiko yang masih tersisa setelah kontrol) (Bobot 30%)
(Menilai apakah risiko berhasil diturunkan sampai level target)</t>
        </is>
      </c>
      <c r="I7" s="12">
        <f>H8+H12+H18+(30%*(H22+H25+H28+H31))</f>
        <v/>
      </c>
      <c r="J7" s="13" t="n"/>
      <c r="K7" s="14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6" customHeight="1">
      <c r="A8" s="6" t="n"/>
      <c r="C8" s="15" t="inlineStr">
        <is>
          <t>a. Nilai Eksposur Risiko lebih rendah dari target Risiko Residual</t>
        </is>
      </c>
      <c r="D8" s="16" t="n"/>
      <c r="E8" s="17" t="inlineStr">
        <is>
          <t>a</t>
        </is>
      </c>
      <c r="F8" s="17" t="n">
        <v>90</v>
      </c>
      <c r="G8" s="18">
        <f>IF((D8="a"),F8,
IF((D8="b"),F9,
IF((D8="c"),F10,"n/a")))</f>
        <v/>
      </c>
      <c r="H8" s="19">
        <f>30%*G8</f>
        <v/>
      </c>
      <c r="J8" s="20" t="n"/>
      <c r="K8" s="2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32" customHeight="1">
      <c r="A9" s="6" t="n"/>
      <c r="C9" s="15" t="inlineStr">
        <is>
          <t>b. Nilai Eksposur Risiko sama dengan target Risiko
Residual</t>
        </is>
      </c>
      <c r="E9" s="22" t="inlineStr">
        <is>
          <t>b</t>
        </is>
      </c>
      <c r="F9" s="22" t="n">
        <v>60</v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6" customHeight="1">
      <c r="A10" s="6" t="n"/>
      <c r="C10" s="15" t="inlineStr">
        <is>
          <t>c. Nilai Eksposur Risiko lebih tinggi dari target Risiko Residual*)</t>
        </is>
      </c>
      <c r="E10" s="23" t="inlineStr">
        <is>
          <t>c</t>
        </is>
      </c>
      <c r="F10" s="23" t="n">
        <v>40</v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31" customHeight="1">
      <c r="A11" s="6" t="n"/>
      <c r="B11" s="10" t="n">
        <v>2</v>
      </c>
      <c r="C11" s="24" t="inlineStr">
        <is>
          <t>Pencapaian output pelaksanaan kegiatan perlakuan Risiko (Mitigasi) sesuai dengan target (Bobot 20%)
(Menilai apakah program mitigasi risiko benar-benar dilaksanakan)</t>
        </is>
      </c>
      <c r="J11" s="25" t="n"/>
      <c r="K11" s="26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6" customHeight="1">
      <c r="A12" s="6" t="n"/>
      <c r="C12" s="27" t="inlineStr">
        <is>
          <t>a. Terealisasi 90-100%</t>
        </is>
      </c>
      <c r="D12" s="16" t="n"/>
      <c r="E12" s="17" t="inlineStr">
        <is>
          <t>a</t>
        </is>
      </c>
      <c r="F12" s="17" t="n">
        <v>100</v>
      </c>
      <c r="G12" s="18">
        <f>IF((D12="a"),F12,
IF((D12="b"),F13,
IF((D12="c"),F14,
IF((D12="d"),F15,
IF((D12="e"),F16,"n/a")))))</f>
        <v/>
      </c>
      <c r="H12" s="19">
        <f>20%*G12</f>
        <v/>
      </c>
      <c r="J12" s="20" t="n"/>
      <c r="K12" s="2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6" customHeight="1">
      <c r="A13" s="6" t="n"/>
      <c r="C13" s="27" t="inlineStr">
        <is>
          <t>b. Terealisasi 80-89%</t>
        </is>
      </c>
      <c r="E13" s="22" t="inlineStr">
        <is>
          <t>b</t>
        </is>
      </c>
      <c r="F13" s="22" t="n">
        <v>80</v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6" customHeight="1">
      <c r="A14" s="6" t="n"/>
      <c r="C14" s="27" t="inlineStr">
        <is>
          <t>c. Terealisasi 70-79%</t>
        </is>
      </c>
      <c r="E14" s="22" t="inlineStr">
        <is>
          <t>c</t>
        </is>
      </c>
      <c r="F14" s="22" t="n">
        <v>60</v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6" customHeight="1">
      <c r="A15" s="6" t="n"/>
      <c r="C15" s="27" t="inlineStr">
        <is>
          <t>d. Terealisasi 60-69%</t>
        </is>
      </c>
      <c r="E15" s="22" t="inlineStr">
        <is>
          <t>d</t>
        </is>
      </c>
      <c r="F15" s="22" t="n">
        <v>40</v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6" customHeight="1">
      <c r="A16" s="6" t="n"/>
      <c r="C16" s="27" t="inlineStr">
        <is>
          <t>e. Terealisasi kurang dari 60%</t>
        </is>
      </c>
      <c r="E16" s="23" t="inlineStr">
        <is>
          <t>e</t>
        </is>
      </c>
      <c r="F16" s="23" t="n">
        <v>20</v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33" customHeight="1">
      <c r="A17" s="6" t="n"/>
      <c r="B17" s="10" t="n">
        <v>3</v>
      </c>
      <c r="C17" s="24" t="inlineStr">
        <is>
          <t>Realisasi anggaran pelaksanaan kegiatan perlakuan Risiko (Mitigasi) sesuai dengan anggaran  (Bobot 20%)
(Melihat apakah biaya mitigasi sesuai dengan anggaran)</t>
        </is>
      </c>
      <c r="J17" s="25" t="n"/>
      <c r="K17" s="26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32" customHeight="1">
      <c r="A18" s="6" t="n"/>
      <c r="C18" s="28" t="inlineStr">
        <is>
          <t>a. Realisasi biaya perlakuan Risiko sama dengan
atau lebih rendah dari anggaran</t>
        </is>
      </c>
      <c r="D18" s="16" t="n"/>
      <c r="E18" s="17" t="inlineStr">
        <is>
          <t>a</t>
        </is>
      </c>
      <c r="F18" s="17" t="n">
        <v>80</v>
      </c>
      <c r="G18" s="18">
        <f>IF((D18="a"),F18,
IF((D18="b"),F19,"n/a"))</f>
        <v/>
      </c>
      <c r="H18" s="19">
        <f>20%*G18</f>
        <v/>
      </c>
      <c r="J18" s="29" t="n"/>
      <c r="K18" s="2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6" customHeight="1">
      <c r="A19" s="6" t="n"/>
      <c r="C19" s="28" t="inlineStr">
        <is>
          <t>b. Realisasi biaya perlakuan Risiko lebih tinggi dari anggaran</t>
        </is>
      </c>
      <c r="E19" s="23" t="inlineStr">
        <is>
          <t>b</t>
        </is>
      </c>
      <c r="F19" s="23" t="n">
        <v>40</v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32" customHeight="1">
      <c r="A20" s="6" t="n"/>
      <c r="B20" s="10" t="n">
        <v>4</v>
      </c>
      <c r="C20" s="30" t="inlineStr">
        <is>
          <t>Ketepatan penilaian Risiko  (Bobot 30%)
(Menilai apakah proses berikut dilakukan dengan benar:)</t>
        </is>
      </c>
      <c r="D20" s="13" t="n"/>
      <c r="E20" s="13" t="n"/>
      <c r="F20" s="13" t="n"/>
      <c r="G20" s="13" t="n"/>
      <c r="H20" s="13" t="n"/>
      <c r="J20" s="25" t="n"/>
      <c r="K20" s="26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6" customHeight="1">
      <c r="A21" s="6" t="n"/>
      <c r="C21" s="31" t="inlineStr">
        <is>
          <t>1). Ketepatan identifikasi Risiko (Bobot 25%)</t>
        </is>
      </c>
      <c r="D21" s="32" t="n"/>
      <c r="E21" s="32" t="n"/>
      <c r="F21" s="32" t="n"/>
      <c r="G21" s="32" t="n"/>
      <c r="H21" s="32" t="n"/>
      <c r="J21" s="33" t="n"/>
      <c r="K21" s="34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32" customHeight="1">
      <c r="A22" s="6" t="n"/>
      <c r="C22" s="28" t="inlineStr">
        <is>
          <t>a. Tidak ada Risiko baru yang mempengaruhi penurunan kinerja pada triwulan berjalan</t>
        </is>
      </c>
      <c r="D22" s="16" t="n"/>
      <c r="E22" s="17" t="inlineStr">
        <is>
          <t>a</t>
        </is>
      </c>
      <c r="F22" s="17" t="n">
        <v>90</v>
      </c>
      <c r="G22" s="18">
        <f>IF((D22="a"),F22,
IF((D22="b"),F23,"n/a"))</f>
        <v/>
      </c>
      <c r="H22" s="19">
        <f>25%*G22</f>
        <v/>
      </c>
      <c r="J22" s="20" t="n"/>
      <c r="K22" s="2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32" customHeight="1">
      <c r="A23" s="6" t="n"/>
      <c r="C23" s="28" t="inlineStr">
        <is>
          <t xml:space="preserve">b. Terdapat Risiko baru yang belum teridentifikasi yang mempengaruhi penurunan kinerja pada triwulan berjalan </t>
        </is>
      </c>
      <c r="E23" s="23" t="inlineStr">
        <is>
          <t>b</t>
        </is>
      </c>
      <c r="F23" s="23" t="n">
        <v>50</v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6" customHeight="1">
      <c r="A24" s="6" t="n"/>
      <c r="C24" s="31" t="inlineStr">
        <is>
          <t>2). Ketepatan kuantifikasi Risiko (Bobot 25%)</t>
        </is>
      </c>
      <c r="D24" s="32" t="n"/>
      <c r="E24" s="32" t="n"/>
      <c r="F24" s="32" t="n"/>
      <c r="G24" s="32" t="n"/>
      <c r="H24" s="32" t="n"/>
      <c r="J24" s="33" t="n"/>
      <c r="K24" s="34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48" customHeight="1">
      <c r="A25" s="6" t="n"/>
      <c r="C25" s="28" t="inlineStr">
        <is>
          <t>a. Realisasi perhitungan nilai dampak dan nilai probabilitas memiliki deviasi negatif tidak lebih dari 5% dengan nilai dampak dan nilai probabilitas yang ditargetkan pada triwulan berjalan</t>
        </is>
      </c>
      <c r="D25" s="16" t="n"/>
      <c r="E25" s="17" t="inlineStr">
        <is>
          <t>a</t>
        </is>
      </c>
      <c r="F25" s="17" t="n">
        <v>90</v>
      </c>
      <c r="G25" s="18">
        <f>IF((D25="a"),F25,
IF((D25="b"),F26,"n/a"))</f>
        <v/>
      </c>
      <c r="H25" s="19">
        <f>25%*G25</f>
        <v/>
      </c>
      <c r="J25" s="20" t="n"/>
      <c r="K25" s="35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48" customHeight="1">
      <c r="A26" s="6" t="n"/>
      <c r="C26" s="28" t="inlineStr">
        <is>
          <t>b. Realisasi perhitungan nilai dampak dan nilai probabilitas memiliki deviasi negatif lebih dari 5% dengan nilai dampak dan nilai probabilitas yang ditargetkan pada triwulan berjalan</t>
        </is>
      </c>
      <c r="E26" s="23" t="inlineStr">
        <is>
          <t>b</t>
        </is>
      </c>
      <c r="F26" s="23" t="n">
        <v>50</v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6" customHeight="1">
      <c r="A27" s="6" t="n"/>
      <c r="C27" s="31" t="inlineStr">
        <is>
          <t xml:space="preserve">3). Ketepatan rencana perlakuan Risiko (Bobot 25%) </t>
        </is>
      </c>
      <c r="D27" s="32" t="n"/>
      <c r="E27" s="32" t="n"/>
      <c r="F27" s="32" t="n"/>
      <c r="G27" s="32" t="n"/>
      <c r="H27" s="32" t="n"/>
      <c r="I27" s="36">
        <f>IF(AND(I7&gt;90,I7&lt;=100),"Strong",
IF(AND(I7&gt;=85,I7&lt;=90),"Satisfactory",
IF(AND(I7&gt;=80,I7&lt;=84),"Fair",
IF(AND(I7&gt;=75,I7&lt;=79),"Marginal",
IF(AND(I7&lt;=79,I7&gt;=0),"Unsatisfactory",
"n/a")))))</f>
        <v/>
      </c>
      <c r="J27" s="33" t="n"/>
      <c r="K27" s="37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32" customHeight="1">
      <c r="A28" s="6" t="n"/>
      <c r="C28" s="28" t="inlineStr">
        <is>
          <t>a. Rencana perlakuan Risiko dapat menurunkan nilai Eksposur Risiko residual sesuai dengan target Risiko residual pada triwulan berjalan</t>
        </is>
      </c>
      <c r="D28" s="16" t="n"/>
      <c r="E28" s="17" t="inlineStr">
        <is>
          <t>a</t>
        </is>
      </c>
      <c r="F28" s="17" t="n">
        <v>90</v>
      </c>
      <c r="G28" s="18">
        <f>IF((D28="a"),F28,
IF((D28="b"),F29,"n/a"))</f>
        <v/>
      </c>
      <c r="H28" s="19">
        <f>25%*G28</f>
        <v/>
      </c>
      <c r="J28" s="38" t="n"/>
      <c r="K28" s="2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32" customHeight="1">
      <c r="A29" s="6" t="n"/>
      <c r="C29" s="28" t="inlineStr">
        <is>
          <t>b. Rencana perlakuan Risiko belum dapat menurunkan nilai Eksposur Risiko residual sesuai dengan target Risiko residual pada triwulan berjalan</t>
        </is>
      </c>
      <c r="E29" s="23" t="inlineStr">
        <is>
          <t>b</t>
        </is>
      </c>
      <c r="F29" s="23" t="n">
        <v>50</v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6" customHeight="1">
      <c r="A30" s="6" t="n"/>
      <c r="C30" s="31" t="inlineStr">
        <is>
          <t>4). Ketepatan prioritisasi Risiko (Bobot 25%)</t>
        </is>
      </c>
      <c r="D30" s="32" t="n"/>
      <c r="E30" s="32" t="n"/>
      <c r="F30" s="32" t="n"/>
      <c r="G30" s="32" t="n"/>
      <c r="H30" s="32" t="n"/>
      <c r="J30" s="39" t="n"/>
      <c r="K30" s="40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32" customHeight="1">
      <c r="A31" s="6" t="n"/>
      <c r="C31" s="28" t="inlineStr">
        <is>
          <t>a. Seluruh Risiko dari struktur korporasi di bawah BUMN tidak ada yang baru yang mempengaruhi penurunan kinerja</t>
        </is>
      </c>
      <c r="D31" s="16" t="n"/>
      <c r="E31" s="17" t="inlineStr">
        <is>
          <t>a</t>
        </is>
      </c>
      <c r="F31" s="17" t="n">
        <v>90</v>
      </c>
      <c r="G31" s="18">
        <f>IF((D31="a"),F31,
IF((D31="b"),F32,"n/a"))</f>
        <v/>
      </c>
      <c r="H31" s="19">
        <f>25%*G31</f>
        <v/>
      </c>
      <c r="J31" s="20" t="n"/>
      <c r="K31" s="2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32" customHeight="1">
      <c r="A32" s="6" t="n"/>
      <c r="C32" s="28" t="inlineStr">
        <is>
          <t>b. Terdapat Risiko baru dari struktur korporasi di bawah BUMN yang tidak masuk dalam Integrasi Risiko yang mempengaruhi penurunan kinerja</t>
        </is>
      </c>
      <c r="E32" s="23" t="inlineStr">
        <is>
          <t>b</t>
        </is>
      </c>
      <c r="F32" s="23" t="n">
        <v>50</v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5" customHeight="1">
      <c r="A33" s="6" t="n"/>
      <c r="B33" s="41" t="inlineStr">
        <is>
          <t xml:space="preserve">*) </t>
        </is>
      </c>
      <c r="C33" s="42" t="inlineStr">
        <is>
          <t>Realisasi nilai Eksposur Risiko yang lebih tinggi dari target Risiko Residual dapat diberikan skala penilaian 2 apabila terdapat peningkatan Kapasitas Risiko yang lebih tinggi dari perhitungan awal tahun.</t>
        </is>
      </c>
      <c r="D33" s="43" t="n"/>
      <c r="E33" s="44" t="n"/>
      <c r="F33" s="44" t="n"/>
      <c r="G33" s="44" t="n"/>
      <c r="H33" s="45" t="n"/>
      <c r="I33" s="44" t="n"/>
      <c r="J33" s="46" t="n"/>
      <c r="K33" s="46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15" customHeight="1">
      <c r="A34" s="6" t="n"/>
      <c r="C34" s="42" t="n"/>
      <c r="D34" s="47" t="inlineStr">
        <is>
          <t>Strong</t>
        </is>
      </c>
      <c r="F34" s="48" t="inlineStr">
        <is>
          <t>&gt; 90</t>
        </is>
      </c>
      <c r="G34" s="49" t="n"/>
      <c r="H34" s="50" t="n"/>
      <c r="I34" s="49" t="n"/>
      <c r="J34" s="51" t="n"/>
      <c r="K34" s="5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15" customHeight="1">
      <c r="A35" s="6" t="n"/>
      <c r="C35" s="42" t="n"/>
      <c r="D35" s="52" t="inlineStr">
        <is>
          <t>Satisfactory</t>
        </is>
      </c>
      <c r="F35" s="48" t="inlineStr">
        <is>
          <t>85 - 90</t>
        </is>
      </c>
      <c r="G35" s="49" t="n"/>
      <c r="H35" s="50" t="n"/>
      <c r="I35" s="49" t="n"/>
      <c r="J35" s="51" t="n"/>
      <c r="K35" s="5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15" customHeight="1">
      <c r="A36" s="6" t="n"/>
      <c r="C36" s="42" t="n"/>
      <c r="D36" s="53" t="inlineStr">
        <is>
          <t>Fair</t>
        </is>
      </c>
      <c r="F36" s="48" t="inlineStr">
        <is>
          <t>80 - 84</t>
        </is>
      </c>
      <c r="G36" s="49" t="n"/>
      <c r="H36" s="50" t="n"/>
      <c r="I36" s="49" t="n"/>
      <c r="J36" s="51" t="n"/>
      <c r="K36" s="5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15" customHeight="1">
      <c r="A37" s="6" t="n"/>
      <c r="C37" s="42" t="n"/>
      <c r="D37" s="54" t="inlineStr">
        <is>
          <t>Marginal</t>
        </is>
      </c>
      <c r="F37" s="48" t="inlineStr">
        <is>
          <t>75 - 79</t>
        </is>
      </c>
      <c r="G37" s="49" t="n"/>
      <c r="H37" s="50" t="n"/>
      <c r="I37" s="49" t="n"/>
      <c r="J37" s="51" t="n"/>
      <c r="K37" s="5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5" customHeight="1">
      <c r="A38" s="6" t="n"/>
      <c r="C38" s="42" t="n"/>
      <c r="D38" s="55" t="inlineStr">
        <is>
          <t>Unsatisfactory</t>
        </is>
      </c>
      <c r="F38" s="48" t="inlineStr">
        <is>
          <t>&lt; 75</t>
        </is>
      </c>
      <c r="G38" s="49" t="n"/>
      <c r="H38" s="50" t="n"/>
      <c r="I38" s="49" t="n"/>
      <c r="J38" s="51" t="n"/>
      <c r="K38" s="5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15" customHeight="1">
      <c r="A39" s="6" t="n"/>
      <c r="C39" s="42" t="n"/>
      <c r="D39" s="56" t="n"/>
      <c r="E39" s="49" t="n"/>
      <c r="F39" s="49" t="n"/>
      <c r="G39" s="49" t="n"/>
      <c r="H39" s="50" t="n"/>
      <c r="I39" s="49" t="n"/>
      <c r="J39" s="51" t="n"/>
      <c r="K39" s="5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15" customHeight="1">
      <c r="A40" s="6" t="n"/>
      <c r="C40" s="42" t="n"/>
      <c r="D40" s="56" t="n"/>
      <c r="E40" s="49" t="n"/>
      <c r="F40" s="49" t="n"/>
      <c r="G40" s="49" t="n"/>
      <c r="H40" s="50" t="n"/>
      <c r="I40" s="49" t="n"/>
      <c r="J40" s="51" t="n"/>
      <c r="K40" s="5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15" customHeight="1">
      <c r="A41" s="6" t="n"/>
      <c r="C41" s="42" t="n"/>
      <c r="D41" s="56" t="n"/>
      <c r="E41" s="49" t="n"/>
      <c r="F41" s="49" t="n"/>
      <c r="G41" s="49" t="n"/>
      <c r="H41" s="50" t="n"/>
      <c r="I41" s="49" t="n"/>
      <c r="J41" s="51" t="n"/>
      <c r="K41" s="5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15" customHeight="1">
      <c r="A42" s="6" t="n"/>
      <c r="D42" s="56" t="n"/>
      <c r="E42" s="49" t="n"/>
      <c r="F42" s="49" t="n"/>
      <c r="G42" s="49" t="n"/>
      <c r="H42" s="50" t="n"/>
      <c r="I42" s="49" t="n"/>
      <c r="J42" s="51" t="n"/>
      <c r="K42" s="5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5" customHeight="1">
      <c r="A43" s="6" t="n"/>
      <c r="B43" s="51" t="n"/>
      <c r="C43" s="57" t="n"/>
      <c r="D43" s="56" t="n"/>
      <c r="E43" s="49" t="n"/>
      <c r="F43" s="49" t="n"/>
      <c r="G43" s="49" t="n"/>
      <c r="H43" s="50" t="n"/>
      <c r="I43" s="49" t="n"/>
      <c r="J43" s="51" t="n"/>
      <c r="K43" s="5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5" customHeight="1">
      <c r="A44" s="6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15" customHeight="1">
      <c r="A45" s="6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5" customHeight="1">
      <c r="A46" s="6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5" customHeight="1">
      <c r="A47" s="6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5" customHeight="1">
      <c r="A48" s="6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15" customHeight="1">
      <c r="A49" s="6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15" customHeight="1">
      <c r="A50" s="6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5" customHeight="1">
      <c r="A51" s="6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15" customHeight="1">
      <c r="A52" s="6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58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</row>
    <row r="54" ht="41.25" customHeight="1">
      <c r="A54" s="60" t="n"/>
      <c r="B54" s="60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</row>
    <row r="1001" ht="15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</row>
    <row r="1002" ht="15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</row>
    <row r="1003" ht="15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</row>
    <row r="1004" ht="15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</row>
    <row r="1005" ht="15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</row>
    <row r="1006" ht="15.75" customHeight="1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</row>
    <row r="1007" ht="15.75" customHeight="1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</row>
    <row r="1008" ht="15.75" customHeight="1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</row>
    <row r="1009" ht="15.75" customHeight="1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</row>
    <row r="1010" ht="15.75" customHeight="1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</row>
    <row r="1011" ht="15.75" customHeight="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</row>
    <row r="1012" ht="15.75" customHeight="1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</row>
    <row r="1013" ht="15.75" customHeight="1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</row>
    <row r="1014" ht="15.75" customHeight="1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</row>
    <row r="1015" ht="15.75" customHeight="1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</row>
    <row r="1016" ht="15.75" customHeight="1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</row>
  </sheetData>
  <mergeCells count="54">
    <mergeCell ref="B4:L4"/>
    <mergeCell ref="I7:I26"/>
    <mergeCell ref="D34:E34"/>
    <mergeCell ref="D12:D16"/>
    <mergeCell ref="J28:J29"/>
    <mergeCell ref="D8:D10"/>
    <mergeCell ref="J12:J16"/>
    <mergeCell ref="H31:H32"/>
    <mergeCell ref="I27:I32"/>
    <mergeCell ref="D36:E36"/>
    <mergeCell ref="B5:K5"/>
    <mergeCell ref="C11:H11"/>
    <mergeCell ref="K22:K23"/>
    <mergeCell ref="H12:H16"/>
    <mergeCell ref="B11:B16"/>
    <mergeCell ref="H22:H23"/>
    <mergeCell ref="G28:G29"/>
    <mergeCell ref="G12:G16"/>
    <mergeCell ref="C17:H17"/>
    <mergeCell ref="K31:K32"/>
    <mergeCell ref="G8:G10"/>
    <mergeCell ref="G18:G19"/>
    <mergeCell ref="H8:H10"/>
    <mergeCell ref="C7:H7"/>
    <mergeCell ref="D28:D29"/>
    <mergeCell ref="J8:J10"/>
    <mergeCell ref="E6:F6"/>
    <mergeCell ref="D18:D19"/>
    <mergeCell ref="J18:J19"/>
    <mergeCell ref="J25:J26"/>
    <mergeCell ref="D37:E37"/>
    <mergeCell ref="D25:D26"/>
    <mergeCell ref="H28:H29"/>
    <mergeCell ref="J22:J23"/>
    <mergeCell ref="B2:K2"/>
    <mergeCell ref="G25:G26"/>
    <mergeCell ref="J31:J32"/>
    <mergeCell ref="H18:H19"/>
    <mergeCell ref="K28:K29"/>
    <mergeCell ref="G22:G23"/>
    <mergeCell ref="B17:B19"/>
    <mergeCell ref="B20:B32"/>
    <mergeCell ref="K25:K26"/>
    <mergeCell ref="D38:E38"/>
    <mergeCell ref="D31:D32"/>
    <mergeCell ref="K8:K10"/>
    <mergeCell ref="B7:B10"/>
    <mergeCell ref="B33:B42"/>
    <mergeCell ref="K12:K16"/>
    <mergeCell ref="G31:G32"/>
    <mergeCell ref="H25:H26"/>
    <mergeCell ref="K18:K19"/>
    <mergeCell ref="D35:E35"/>
    <mergeCell ref="D22:D23"/>
  </mergeCells>
  <dataValidations count="4">
    <dataValidation sqref="D8:D10" showDropDown="0" showInputMessage="0" showErrorMessage="1" allowBlank="1" type="list">
      <formula1>"a, b, c"</formula1>
    </dataValidation>
    <dataValidation sqref="E8:F10 E12:F16 E18:F19 E22:F23 E25:F26 E28:F29 E31:F33 E39:G43 F34:G38 G8:H8 G12:H12 G18:H18 G22:H22 G25:H25 G28:H28 G31:H31 G33" showDropDown="0" showInputMessage="0" showErrorMessage="1" allowBlank="1"/>
    <dataValidation sqref="D12:D16" showDropDown="0" showInputMessage="1" showErrorMessage="1" allowBlank="1" type="list">
      <formula1>"a, b, c, d, e"</formula1>
    </dataValidation>
    <dataValidation sqref="D18:D19 D22:D23 D25:D26 D28:D29 D31:D32" showDropDown="0" showInputMessage="1" showErrorMessage="1" allowBlank="1" type="list">
      <formula1>"a, b"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2026-08-01T14:54:47Z</dcterms:created>
  <dcterms:modified xmlns:dcterms="http://purl.org/dc/terms/" xmlns:xsi="http://www.w3.org/2001/XMLSchema-instance" xsi:type="dcterms:W3CDTF">2026-08-01T14:54:51Z</dcterms:modified>
</cp:coreProperties>
</file>